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eenmufti/Desktop/Portfolio/"/>
    </mc:Choice>
  </mc:AlternateContent>
  <xr:revisionPtr revIDLastSave="0" documentId="13_ncr:1_{6BA32194-14AA-4046-9403-6AD28DBF79C2}" xr6:coauthVersionLast="47" xr6:coauthVersionMax="47" xr10:uidLastSave="{00000000-0000-0000-0000-000000000000}"/>
  <bookViews>
    <workbookView xWindow="1500" yWindow="1320" windowWidth="27640" windowHeight="16940" xr2:uid="{26EE90EF-BB2B-C848-A78A-C542BA6E60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" i="1"/>
</calcChain>
</file>

<file path=xl/sharedStrings.xml><?xml version="1.0" encoding="utf-8"?>
<sst xmlns="http://schemas.openxmlformats.org/spreadsheetml/2006/main" count="166" uniqueCount="70">
  <si>
    <t>survey_date</t>
  </si>
  <si>
    <t>business_name</t>
  </si>
  <si>
    <t>Zabi collections</t>
  </si>
  <si>
    <t xml:space="preserve">Bhakkar </t>
  </si>
  <si>
    <t>province</t>
  </si>
  <si>
    <t>Punjab</t>
  </si>
  <si>
    <t xml:space="preserve">Hunza </t>
  </si>
  <si>
    <t>Hasmart</t>
  </si>
  <si>
    <t xml:space="preserve"> </t>
  </si>
  <si>
    <t xml:space="preserve">SAZ Light House </t>
  </si>
  <si>
    <t xml:space="preserve">Asmad electro devices </t>
  </si>
  <si>
    <t>Hotel and restaurant</t>
  </si>
  <si>
    <t xml:space="preserve">Shan Enterprises </t>
  </si>
  <si>
    <t xml:space="preserve">Gojal hotel </t>
  </si>
  <si>
    <t xml:space="preserve">Gilgit </t>
  </si>
  <si>
    <t xml:space="preserve">Capital lodge </t>
  </si>
  <si>
    <t xml:space="preserve">Oroom.Shoes </t>
  </si>
  <si>
    <t xml:space="preserve">Hunza dry fruits </t>
  </si>
  <si>
    <t xml:space="preserve">Naqsh Arts </t>
  </si>
  <si>
    <t>Al Buraq Services</t>
  </si>
  <si>
    <t xml:space="preserve">M/S TRADERS </t>
  </si>
  <si>
    <t xml:space="preserve">city </t>
  </si>
  <si>
    <t>Gilgit Baltistan</t>
  </si>
  <si>
    <t>Rawalpindi</t>
  </si>
  <si>
    <t>ntn_flag</t>
  </si>
  <si>
    <t xml:space="preserve">business_age_year </t>
  </si>
  <si>
    <t>industry_group</t>
  </si>
  <si>
    <t>Food &amp; Beverage</t>
  </si>
  <si>
    <t>Hospitality &amp; Tourism</t>
  </si>
  <si>
    <t>Retail-Luxury</t>
  </si>
  <si>
    <t xml:space="preserve">Retail- Electronics </t>
  </si>
  <si>
    <t>Retail- Apparels</t>
  </si>
  <si>
    <t xml:space="preserve">General Services </t>
  </si>
  <si>
    <t xml:space="preserve">Arts &amp; Culture </t>
  </si>
  <si>
    <t>employee_size</t>
  </si>
  <si>
    <t>Small (≤10)</t>
  </si>
  <si>
    <t>Medium (&gt;10)</t>
  </si>
  <si>
    <t>microfinance_bank_final</t>
  </si>
  <si>
    <t>First Women Bank</t>
  </si>
  <si>
    <t>Mobilink Microfinance Bank Limited</t>
  </si>
  <si>
    <t>Micro Finance Bank Limited</t>
  </si>
  <si>
    <t>Cooperative Society</t>
  </si>
  <si>
    <t>Tameer Micro Finance Bank Limited</t>
  </si>
  <si>
    <t>Al Rahim Cooperative Society</t>
  </si>
  <si>
    <t>UBL</t>
  </si>
  <si>
    <t>Akhuwat Bank</t>
  </si>
  <si>
    <t>Khushhali Bank Limited</t>
  </si>
  <si>
    <t>APNA Micro Finance Bank Limited</t>
  </si>
  <si>
    <t>The First Micro Finance Bank Limited</t>
  </si>
  <si>
    <t>loan_amount_catagory</t>
  </si>
  <si>
    <t>50,000–100,000 PKR</t>
  </si>
  <si>
    <t>&lt; 50,000 PKR</t>
  </si>
  <si>
    <t>&gt; 100,000 PKR</t>
  </si>
  <si>
    <t>loan_duration</t>
  </si>
  <si>
    <t>Short-term (6 months)</t>
  </si>
  <si>
    <t>Medium-term (2 years)</t>
  </si>
  <si>
    <t>interest_rate_band</t>
  </si>
  <si>
    <t>Low (0–20%)</t>
  </si>
  <si>
    <t>High (20–30%)</t>
  </si>
  <si>
    <t>product_improvement_score</t>
  </si>
  <si>
    <t>employee_training_score</t>
  </si>
  <si>
    <t>cost_reduction_score</t>
  </si>
  <si>
    <t>income_increase_score</t>
  </si>
  <si>
    <t>profit_increase_score</t>
  </si>
  <si>
    <t>savings_expansion_score</t>
  </si>
  <si>
    <t>overall_loan_impact_score</t>
  </si>
  <si>
    <t>loan_amount_numeric</t>
  </si>
  <si>
    <t>employee_size_numeric</t>
  </si>
  <si>
    <t>loan_duration_numeric</t>
  </si>
  <si>
    <t>interest_rate_band_numeric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</si>
</sst>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3598-09E7-2542-87E1-30E0D14BDF9C}">
  <dimension ref="A1:W21"/>
  <sheetViews>
    <sheetView tabSelected="1" workbookViewId="0">
      <selection activeCell="E30" sqref="E30"/>
    </sheetView>
  </sheetViews>
  <sheetFormatPr baseColWidth="10" defaultRowHeight="16" x14ac:dyDescent="0.2"/>
  <cols>
    <col min="2" max="2" width="19.5" customWidth="1"/>
    <col min="4" max="4" width="13.6640625" customWidth="1"/>
    <col min="5" max="5" width="19.1640625" customWidth="1"/>
    <col min="7" max="7" width="15.83203125" customWidth="1"/>
    <col min="8" max="8" width="13.33203125" customWidth="1"/>
    <col min="9" max="9" width="21.33203125" customWidth="1"/>
    <col min="10" max="10" width="30.6640625" customWidth="1"/>
    <col min="11" max="11" width="19.83203125" customWidth="1"/>
    <col min="12" max="13" width="19.5" customWidth="1"/>
    <col min="14" max="15" width="20.1640625" customWidth="1"/>
    <col min="16" max="16" width="24.83203125" customWidth="1"/>
    <col min="17" max="17" width="24.33203125" customWidth="1"/>
    <col min="18" max="18" width="22.33203125" customWidth="1"/>
    <col min="19" max="19" width="18.6640625" customWidth="1"/>
    <col min="20" max="20" width="20.6640625" customWidth="1"/>
    <col min="21" max="21" width="18.6640625" customWidth="1"/>
    <col min="22" max="22" width="21.6640625" customWidth="1"/>
    <col min="23" max="23" width="22.83203125" customWidth="1"/>
  </cols>
  <sheetData>
    <row r="1" spans="1:23" x14ac:dyDescent="0.2">
      <c r="A1" s="2" t="s">
        <v>0</v>
      </c>
      <c r="B1" s="2" t="s">
        <v>1</v>
      </c>
      <c r="C1" s="2" t="s">
        <v>21</v>
      </c>
      <c r="D1" s="2" t="s">
        <v>4</v>
      </c>
      <c r="E1" s="2" t="s">
        <v>26</v>
      </c>
      <c r="F1" s="2" t="s">
        <v>24</v>
      </c>
      <c r="G1" s="2" t="s">
        <v>25</v>
      </c>
      <c r="H1" s="2" t="s">
        <v>34</v>
      </c>
      <c r="I1" s="2" t="s">
        <v>67</v>
      </c>
      <c r="J1" s="2" t="s">
        <v>37</v>
      </c>
      <c r="K1" s="2" t="s">
        <v>49</v>
      </c>
      <c r="L1" s="2" t="s">
        <v>66</v>
      </c>
      <c r="M1" s="2" t="s">
        <v>53</v>
      </c>
      <c r="N1" s="2" t="s">
        <v>68</v>
      </c>
      <c r="O1" s="2" t="s">
        <v>56</v>
      </c>
      <c r="P1" s="2" t="s">
        <v>69</v>
      </c>
      <c r="Q1" s="2" t="s">
        <v>59</v>
      </c>
      <c r="R1" s="2" t="s">
        <v>60</v>
      </c>
      <c r="S1" s="2" t="s">
        <v>61</v>
      </c>
      <c r="T1" s="2" t="s">
        <v>62</v>
      </c>
      <c r="U1" s="2" t="s">
        <v>63</v>
      </c>
      <c r="V1" s="2" t="s">
        <v>64</v>
      </c>
      <c r="W1" s="2" t="s">
        <v>65</v>
      </c>
    </row>
    <row r="2" spans="1:23" x14ac:dyDescent="0.2">
      <c r="A2" s="1">
        <v>44190</v>
      </c>
      <c r="B2" t="s">
        <v>2</v>
      </c>
      <c r="F2">
        <v>1</v>
      </c>
      <c r="G2">
        <v>2</v>
      </c>
      <c r="H2" t="s">
        <v>35</v>
      </c>
      <c r="I2">
        <v>1</v>
      </c>
      <c r="J2" t="s">
        <v>38</v>
      </c>
      <c r="K2" t="s">
        <v>50</v>
      </c>
      <c r="L2">
        <v>2</v>
      </c>
      <c r="M2" t="s">
        <v>54</v>
      </c>
      <c r="N2">
        <v>1</v>
      </c>
      <c r="O2" t="s">
        <v>57</v>
      </c>
      <c r="P2">
        <v>1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f>AVERAGE(Q2, R2, S2, T2, U2, V2)</f>
        <v>4</v>
      </c>
    </row>
    <row r="3" spans="1:23" x14ac:dyDescent="0.2">
      <c r="A3" s="1">
        <v>44190</v>
      </c>
      <c r="C3" t="s">
        <v>3</v>
      </c>
      <c r="D3" t="s">
        <v>5</v>
      </c>
      <c r="E3" t="s">
        <v>27</v>
      </c>
      <c r="F3">
        <v>0</v>
      </c>
      <c r="G3">
        <v>2</v>
      </c>
      <c r="H3" t="s">
        <v>35</v>
      </c>
      <c r="I3">
        <v>1</v>
      </c>
      <c r="J3" t="s">
        <v>39</v>
      </c>
      <c r="K3" t="s">
        <v>51</v>
      </c>
      <c r="L3">
        <v>1</v>
      </c>
      <c r="M3" t="s">
        <v>54</v>
      </c>
      <c r="N3">
        <v>1</v>
      </c>
      <c r="O3" t="s">
        <v>58</v>
      </c>
      <c r="P3">
        <v>2</v>
      </c>
      <c r="Q3">
        <v>4</v>
      </c>
      <c r="R3">
        <v>3</v>
      </c>
      <c r="S3">
        <v>4</v>
      </c>
      <c r="T3">
        <v>4</v>
      </c>
      <c r="U3">
        <v>4</v>
      </c>
      <c r="V3">
        <v>5</v>
      </c>
      <c r="W3">
        <f t="shared" ref="W3:W20" si="0">AVERAGE(Q3, R3, S3, T3, U3, V3)</f>
        <v>4</v>
      </c>
    </row>
    <row r="4" spans="1:23" x14ac:dyDescent="0.2">
      <c r="A4" s="1">
        <v>44190</v>
      </c>
      <c r="E4" t="s">
        <v>27</v>
      </c>
      <c r="F4">
        <v>0</v>
      </c>
      <c r="G4">
        <v>2</v>
      </c>
      <c r="H4" t="s">
        <v>35</v>
      </c>
      <c r="I4">
        <v>1</v>
      </c>
      <c r="J4" t="s">
        <v>40</v>
      </c>
      <c r="K4" t="s">
        <v>50</v>
      </c>
      <c r="L4">
        <v>2</v>
      </c>
      <c r="M4" t="s">
        <v>54</v>
      </c>
      <c r="N4">
        <v>1</v>
      </c>
      <c r="O4" t="s">
        <v>58</v>
      </c>
      <c r="P4">
        <v>2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f t="shared" si="0"/>
        <v>4</v>
      </c>
    </row>
    <row r="5" spans="1:23" x14ac:dyDescent="0.2">
      <c r="A5" s="1">
        <v>44193</v>
      </c>
      <c r="B5" t="s">
        <v>7</v>
      </c>
      <c r="C5" t="s">
        <v>6</v>
      </c>
      <c r="D5" t="s">
        <v>22</v>
      </c>
      <c r="F5">
        <v>0</v>
      </c>
      <c r="G5">
        <v>2</v>
      </c>
      <c r="H5" t="s">
        <v>35</v>
      </c>
      <c r="I5">
        <v>1</v>
      </c>
      <c r="J5" t="s">
        <v>41</v>
      </c>
      <c r="K5" t="s">
        <v>52</v>
      </c>
      <c r="L5">
        <v>3</v>
      </c>
      <c r="M5" t="s">
        <v>54</v>
      </c>
      <c r="N5">
        <v>1</v>
      </c>
      <c r="O5" t="s">
        <v>57</v>
      </c>
      <c r="P5">
        <v>1</v>
      </c>
      <c r="Q5">
        <v>4</v>
      </c>
      <c r="R5">
        <v>3</v>
      </c>
      <c r="S5">
        <v>4</v>
      </c>
      <c r="T5">
        <v>4</v>
      </c>
      <c r="U5">
        <v>4</v>
      </c>
      <c r="V5">
        <v>4</v>
      </c>
      <c r="W5">
        <f t="shared" si="0"/>
        <v>3.8333333333333335</v>
      </c>
    </row>
    <row r="6" spans="1:23" x14ac:dyDescent="0.2">
      <c r="A6" s="1">
        <v>44193</v>
      </c>
      <c r="B6" t="s">
        <v>8</v>
      </c>
      <c r="C6" t="s">
        <v>23</v>
      </c>
      <c r="D6" t="s">
        <v>5</v>
      </c>
      <c r="E6" t="s">
        <v>29</v>
      </c>
      <c r="F6">
        <v>1</v>
      </c>
      <c r="G6">
        <v>10</v>
      </c>
      <c r="H6" t="s">
        <v>35</v>
      </c>
      <c r="I6">
        <v>1</v>
      </c>
      <c r="J6" t="s">
        <v>42</v>
      </c>
      <c r="K6" t="s">
        <v>52</v>
      </c>
      <c r="L6">
        <v>3</v>
      </c>
      <c r="M6" t="s">
        <v>55</v>
      </c>
      <c r="N6">
        <v>2</v>
      </c>
      <c r="O6" t="s">
        <v>58</v>
      </c>
      <c r="P6">
        <v>2</v>
      </c>
      <c r="Q6">
        <v>4</v>
      </c>
      <c r="R6">
        <v>2</v>
      </c>
      <c r="S6">
        <v>5</v>
      </c>
      <c r="T6">
        <v>5</v>
      </c>
      <c r="U6">
        <v>5</v>
      </c>
      <c r="V6">
        <v>3</v>
      </c>
      <c r="W6">
        <f t="shared" si="0"/>
        <v>4</v>
      </c>
    </row>
    <row r="7" spans="1:23" x14ac:dyDescent="0.2">
      <c r="A7" s="1">
        <v>44193</v>
      </c>
      <c r="B7" t="s">
        <v>9</v>
      </c>
      <c r="C7" t="s">
        <v>6</v>
      </c>
      <c r="D7" t="s">
        <v>22</v>
      </c>
      <c r="E7" t="s">
        <v>30</v>
      </c>
      <c r="F7">
        <v>0</v>
      </c>
      <c r="G7">
        <v>5</v>
      </c>
      <c r="H7" t="s">
        <v>35</v>
      </c>
      <c r="I7">
        <v>1</v>
      </c>
      <c r="J7" t="s">
        <v>43</v>
      </c>
      <c r="K7" t="s">
        <v>52</v>
      </c>
      <c r="L7">
        <v>3</v>
      </c>
      <c r="M7" t="s">
        <v>55</v>
      </c>
      <c r="N7">
        <v>2</v>
      </c>
      <c r="O7" t="s">
        <v>57</v>
      </c>
      <c r="P7">
        <v>1</v>
      </c>
      <c r="Q7">
        <v>5</v>
      </c>
      <c r="R7">
        <v>4</v>
      </c>
      <c r="S7">
        <v>4</v>
      </c>
      <c r="T7">
        <v>4</v>
      </c>
      <c r="U7">
        <v>4</v>
      </c>
      <c r="V7">
        <v>4</v>
      </c>
      <c r="W7">
        <f t="shared" si="0"/>
        <v>4.166666666666667</v>
      </c>
    </row>
    <row r="8" spans="1:23" x14ac:dyDescent="0.2">
      <c r="A8" s="1">
        <v>44194</v>
      </c>
      <c r="E8" t="s">
        <v>31</v>
      </c>
      <c r="F8">
        <v>0</v>
      </c>
      <c r="G8">
        <v>10</v>
      </c>
      <c r="H8" t="s">
        <v>35</v>
      </c>
      <c r="I8">
        <v>1</v>
      </c>
      <c r="J8" t="s">
        <v>44</v>
      </c>
      <c r="K8" t="s">
        <v>51</v>
      </c>
      <c r="L8">
        <v>1</v>
      </c>
      <c r="M8" t="s">
        <v>54</v>
      </c>
      <c r="N8">
        <v>1</v>
      </c>
      <c r="O8" t="s">
        <v>57</v>
      </c>
      <c r="P8">
        <v>1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f t="shared" si="0"/>
        <v>4</v>
      </c>
    </row>
    <row r="9" spans="1:23" x14ac:dyDescent="0.2">
      <c r="A9" s="1">
        <v>44195</v>
      </c>
      <c r="B9" t="s">
        <v>10</v>
      </c>
      <c r="C9" t="s">
        <v>6</v>
      </c>
      <c r="D9" t="s">
        <v>22</v>
      </c>
      <c r="E9" t="s">
        <v>30</v>
      </c>
      <c r="F9">
        <v>0</v>
      </c>
      <c r="G9">
        <v>5</v>
      </c>
      <c r="H9" t="s">
        <v>35</v>
      </c>
      <c r="I9">
        <v>1</v>
      </c>
      <c r="J9" t="s">
        <v>45</v>
      </c>
      <c r="K9" t="s">
        <v>52</v>
      </c>
      <c r="L9">
        <v>3</v>
      </c>
      <c r="M9" t="s">
        <v>55</v>
      </c>
      <c r="N9">
        <v>2</v>
      </c>
      <c r="O9" t="s">
        <v>57</v>
      </c>
      <c r="P9">
        <v>1</v>
      </c>
      <c r="Q9">
        <v>5</v>
      </c>
      <c r="R9">
        <v>4</v>
      </c>
      <c r="S9">
        <v>4</v>
      </c>
      <c r="T9">
        <v>5</v>
      </c>
      <c r="U9">
        <v>5</v>
      </c>
      <c r="V9">
        <v>5</v>
      </c>
      <c r="W9">
        <f t="shared" si="0"/>
        <v>4.666666666666667</v>
      </c>
    </row>
    <row r="10" spans="1:23" x14ac:dyDescent="0.2">
      <c r="A10" s="1">
        <v>44199</v>
      </c>
      <c r="B10" t="s">
        <v>11</v>
      </c>
      <c r="E10" t="s">
        <v>28</v>
      </c>
      <c r="F10">
        <v>0</v>
      </c>
      <c r="G10">
        <v>5</v>
      </c>
      <c r="H10" t="s">
        <v>36</v>
      </c>
      <c r="I10">
        <v>2</v>
      </c>
      <c r="J10" t="s">
        <v>40</v>
      </c>
      <c r="K10" t="s">
        <v>52</v>
      </c>
      <c r="L10">
        <v>3</v>
      </c>
      <c r="M10" t="s">
        <v>54</v>
      </c>
      <c r="N10">
        <v>1</v>
      </c>
      <c r="O10" t="s">
        <v>57</v>
      </c>
      <c r="P10">
        <v>1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f t="shared" si="0"/>
        <v>5</v>
      </c>
    </row>
    <row r="11" spans="1:23" x14ac:dyDescent="0.2">
      <c r="A11" s="1">
        <v>44199</v>
      </c>
      <c r="F11">
        <v>0</v>
      </c>
      <c r="G11">
        <v>5</v>
      </c>
      <c r="H11" t="s">
        <v>36</v>
      </c>
      <c r="I11">
        <v>2</v>
      </c>
      <c r="J11" t="s">
        <v>39</v>
      </c>
      <c r="K11" t="s">
        <v>52</v>
      </c>
      <c r="L11">
        <v>3</v>
      </c>
      <c r="M11" t="s">
        <v>54</v>
      </c>
      <c r="N11">
        <v>1</v>
      </c>
      <c r="O11" t="s">
        <v>58</v>
      </c>
      <c r="P11">
        <v>2</v>
      </c>
      <c r="Q11">
        <v>4</v>
      </c>
      <c r="R11">
        <v>4</v>
      </c>
      <c r="S11">
        <v>5</v>
      </c>
      <c r="T11">
        <v>4</v>
      </c>
      <c r="U11">
        <v>5</v>
      </c>
      <c r="V11">
        <v>4</v>
      </c>
      <c r="W11">
        <f t="shared" si="0"/>
        <v>4.333333333333333</v>
      </c>
    </row>
    <row r="12" spans="1:23" x14ac:dyDescent="0.2">
      <c r="A12" s="1">
        <v>44199</v>
      </c>
      <c r="B12" t="s">
        <v>12</v>
      </c>
      <c r="F12">
        <v>0</v>
      </c>
      <c r="G12">
        <v>5</v>
      </c>
      <c r="H12" t="s">
        <v>35</v>
      </c>
      <c r="I12">
        <v>1</v>
      </c>
      <c r="J12" t="s">
        <v>46</v>
      </c>
      <c r="K12" t="s">
        <v>52</v>
      </c>
      <c r="L12">
        <v>3</v>
      </c>
      <c r="M12" t="s">
        <v>55</v>
      </c>
      <c r="N12">
        <v>2</v>
      </c>
      <c r="O12" t="s">
        <v>57</v>
      </c>
      <c r="P12">
        <v>1</v>
      </c>
      <c r="Q12">
        <v>2</v>
      </c>
      <c r="R12">
        <v>2</v>
      </c>
      <c r="S12">
        <v>4</v>
      </c>
      <c r="T12">
        <v>4</v>
      </c>
      <c r="U12">
        <v>3</v>
      </c>
      <c r="V12">
        <v>3</v>
      </c>
      <c r="W12">
        <f t="shared" si="0"/>
        <v>3</v>
      </c>
    </row>
    <row r="13" spans="1:23" x14ac:dyDescent="0.2">
      <c r="A13" s="1">
        <v>44199</v>
      </c>
      <c r="B13" t="s">
        <v>13</v>
      </c>
      <c r="C13" t="s">
        <v>14</v>
      </c>
      <c r="D13" t="s">
        <v>22</v>
      </c>
      <c r="E13" t="s">
        <v>28</v>
      </c>
      <c r="F13">
        <v>0</v>
      </c>
      <c r="G13">
        <v>5</v>
      </c>
      <c r="H13" t="s">
        <v>35</v>
      </c>
      <c r="I13">
        <v>1</v>
      </c>
      <c r="J13" t="s">
        <v>40</v>
      </c>
      <c r="K13" t="s">
        <v>52</v>
      </c>
      <c r="L13">
        <v>3</v>
      </c>
      <c r="M13" t="s">
        <v>55</v>
      </c>
      <c r="N13">
        <v>2</v>
      </c>
      <c r="O13" t="s">
        <v>57</v>
      </c>
      <c r="P13">
        <v>1</v>
      </c>
      <c r="Q13">
        <v>5</v>
      </c>
      <c r="R13">
        <v>4</v>
      </c>
      <c r="S13">
        <v>4</v>
      </c>
      <c r="T13">
        <v>4</v>
      </c>
      <c r="U13">
        <v>4</v>
      </c>
      <c r="V13">
        <v>4</v>
      </c>
      <c r="W13">
        <f t="shared" si="0"/>
        <v>4.166666666666667</v>
      </c>
    </row>
    <row r="14" spans="1:23" x14ac:dyDescent="0.2">
      <c r="A14" s="1">
        <v>44199</v>
      </c>
      <c r="B14" t="s">
        <v>15</v>
      </c>
      <c r="C14" t="s">
        <v>14</v>
      </c>
      <c r="D14" t="s">
        <v>22</v>
      </c>
      <c r="E14" t="s">
        <v>28</v>
      </c>
      <c r="F14">
        <v>0</v>
      </c>
      <c r="G14">
        <v>5</v>
      </c>
      <c r="H14" t="s">
        <v>36</v>
      </c>
      <c r="I14">
        <v>2</v>
      </c>
      <c r="J14" t="s">
        <v>40</v>
      </c>
      <c r="K14" t="s">
        <v>52</v>
      </c>
      <c r="L14">
        <v>3</v>
      </c>
      <c r="M14" t="s">
        <v>55</v>
      </c>
      <c r="N14">
        <v>2</v>
      </c>
      <c r="O14" t="s">
        <v>58</v>
      </c>
      <c r="P14">
        <v>2</v>
      </c>
      <c r="Q14">
        <v>5</v>
      </c>
      <c r="R14">
        <v>4</v>
      </c>
      <c r="S14">
        <v>4</v>
      </c>
      <c r="T14">
        <v>3</v>
      </c>
      <c r="U14">
        <v>4</v>
      </c>
      <c r="V14">
        <v>4</v>
      </c>
      <c r="W14">
        <f t="shared" si="0"/>
        <v>4</v>
      </c>
    </row>
    <row r="15" spans="1:23" x14ac:dyDescent="0.2">
      <c r="A15" s="1">
        <v>44200</v>
      </c>
      <c r="B15" t="s">
        <v>16</v>
      </c>
      <c r="E15" t="s">
        <v>31</v>
      </c>
      <c r="F15">
        <v>0</v>
      </c>
      <c r="G15">
        <v>2</v>
      </c>
      <c r="H15" t="s">
        <v>35</v>
      </c>
      <c r="I15">
        <v>1</v>
      </c>
      <c r="J15" t="s">
        <v>47</v>
      </c>
      <c r="K15" t="s">
        <v>52</v>
      </c>
      <c r="L15">
        <v>3</v>
      </c>
      <c r="M15" t="s">
        <v>54</v>
      </c>
      <c r="N15">
        <v>1</v>
      </c>
      <c r="O15" t="s">
        <v>58</v>
      </c>
      <c r="P15">
        <v>2</v>
      </c>
      <c r="Q15">
        <v>3</v>
      </c>
      <c r="R15">
        <v>3</v>
      </c>
      <c r="S15">
        <v>2</v>
      </c>
      <c r="T15">
        <v>3</v>
      </c>
      <c r="U15">
        <v>4</v>
      </c>
      <c r="V15">
        <v>2</v>
      </c>
      <c r="W15">
        <f t="shared" si="0"/>
        <v>2.8333333333333335</v>
      </c>
    </row>
    <row r="16" spans="1:23" x14ac:dyDescent="0.2">
      <c r="A16" s="1">
        <v>44200</v>
      </c>
      <c r="B16" t="s">
        <v>17</v>
      </c>
      <c r="C16" t="s">
        <v>6</v>
      </c>
      <c r="D16" t="s">
        <v>22</v>
      </c>
      <c r="E16" t="s">
        <v>27</v>
      </c>
      <c r="F16">
        <v>0</v>
      </c>
      <c r="G16">
        <v>2</v>
      </c>
      <c r="H16" t="s">
        <v>35</v>
      </c>
      <c r="I16">
        <v>1</v>
      </c>
      <c r="J16" t="s">
        <v>48</v>
      </c>
      <c r="K16" t="s">
        <v>52</v>
      </c>
      <c r="L16">
        <v>3</v>
      </c>
      <c r="M16" t="s">
        <v>55</v>
      </c>
      <c r="N16">
        <v>2</v>
      </c>
      <c r="O16" t="s">
        <v>58</v>
      </c>
      <c r="P16">
        <v>2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f t="shared" si="0"/>
        <v>4</v>
      </c>
    </row>
    <row r="17" spans="1:23" x14ac:dyDescent="0.2">
      <c r="A17" s="1">
        <v>44200</v>
      </c>
      <c r="B17" t="s">
        <v>20</v>
      </c>
      <c r="C17" t="s">
        <v>6</v>
      </c>
      <c r="D17" t="s">
        <v>22</v>
      </c>
      <c r="F17">
        <v>0</v>
      </c>
      <c r="G17">
        <v>2</v>
      </c>
      <c r="H17" t="s">
        <v>35</v>
      </c>
      <c r="I17">
        <v>1</v>
      </c>
      <c r="J17" t="s">
        <v>46</v>
      </c>
      <c r="K17" t="s">
        <v>52</v>
      </c>
      <c r="L17">
        <v>3</v>
      </c>
      <c r="M17" t="s">
        <v>55</v>
      </c>
      <c r="N17">
        <v>2</v>
      </c>
      <c r="O17" t="s">
        <v>57</v>
      </c>
      <c r="P17">
        <v>1</v>
      </c>
      <c r="Q17">
        <v>4</v>
      </c>
      <c r="R17">
        <v>3</v>
      </c>
      <c r="S17">
        <v>4</v>
      </c>
      <c r="T17">
        <v>4</v>
      </c>
      <c r="U17">
        <v>4</v>
      </c>
      <c r="V17">
        <v>4</v>
      </c>
      <c r="W17">
        <f t="shared" si="0"/>
        <v>3.8333333333333335</v>
      </c>
    </row>
    <row r="18" spans="1:23" x14ac:dyDescent="0.2">
      <c r="A18" s="1">
        <v>44200</v>
      </c>
      <c r="B18" t="s">
        <v>19</v>
      </c>
      <c r="E18" t="s">
        <v>32</v>
      </c>
      <c r="F18">
        <v>1</v>
      </c>
      <c r="G18">
        <v>2</v>
      </c>
      <c r="H18" t="s">
        <v>35</v>
      </c>
      <c r="I18">
        <v>1</v>
      </c>
      <c r="J18" t="s">
        <v>40</v>
      </c>
      <c r="K18" t="s">
        <v>52</v>
      </c>
      <c r="L18">
        <v>3</v>
      </c>
      <c r="M18" t="s">
        <v>54</v>
      </c>
      <c r="N18">
        <v>1</v>
      </c>
      <c r="O18" t="s">
        <v>57</v>
      </c>
      <c r="P18">
        <v>1</v>
      </c>
      <c r="Q18">
        <v>4</v>
      </c>
      <c r="R18">
        <v>4</v>
      </c>
      <c r="S18">
        <v>4</v>
      </c>
      <c r="T18">
        <v>5</v>
      </c>
      <c r="U18">
        <v>5</v>
      </c>
      <c r="V18">
        <v>4</v>
      </c>
      <c r="W18">
        <f t="shared" si="0"/>
        <v>4.333333333333333</v>
      </c>
    </row>
    <row r="19" spans="1:23" x14ac:dyDescent="0.2">
      <c r="A19" s="1">
        <v>44200</v>
      </c>
      <c r="B19" t="s">
        <v>18</v>
      </c>
      <c r="C19" t="s">
        <v>14</v>
      </c>
      <c r="D19" t="s">
        <v>22</v>
      </c>
      <c r="E19" t="s">
        <v>33</v>
      </c>
      <c r="F19">
        <v>1</v>
      </c>
      <c r="G19">
        <v>2</v>
      </c>
      <c r="H19" t="s">
        <v>35</v>
      </c>
      <c r="I19">
        <v>1</v>
      </c>
      <c r="J19" t="s">
        <v>40</v>
      </c>
      <c r="K19" t="s">
        <v>50</v>
      </c>
      <c r="L19">
        <v>2</v>
      </c>
      <c r="M19" t="s">
        <v>54</v>
      </c>
      <c r="N19">
        <v>1</v>
      </c>
      <c r="O19" t="s">
        <v>57</v>
      </c>
      <c r="P19">
        <v>1</v>
      </c>
      <c r="Q19">
        <v>4</v>
      </c>
      <c r="R19">
        <v>2</v>
      </c>
      <c r="S19">
        <v>4</v>
      </c>
      <c r="T19">
        <v>3</v>
      </c>
      <c r="U19">
        <v>4</v>
      </c>
      <c r="V19">
        <v>4</v>
      </c>
      <c r="W19">
        <f t="shared" si="0"/>
        <v>3.5</v>
      </c>
    </row>
    <row r="20" spans="1:23" x14ac:dyDescent="0.2">
      <c r="A20" s="1">
        <v>44202</v>
      </c>
      <c r="E20" t="s">
        <v>31</v>
      </c>
      <c r="F20">
        <v>1</v>
      </c>
      <c r="G20">
        <v>10</v>
      </c>
      <c r="H20" t="s">
        <v>35</v>
      </c>
      <c r="I20">
        <v>1</v>
      </c>
      <c r="J20" t="s">
        <v>39</v>
      </c>
      <c r="K20" t="s">
        <v>51</v>
      </c>
      <c r="L20">
        <v>1</v>
      </c>
      <c r="M20" t="s">
        <v>54</v>
      </c>
      <c r="N20">
        <v>1</v>
      </c>
      <c r="O20" t="s">
        <v>57</v>
      </c>
      <c r="P20">
        <v>1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f t="shared" si="0"/>
        <v>4</v>
      </c>
    </row>
    <row r="21" spans="1:23" x14ac:dyDescent="0.2">
      <c r="A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Rameen Mufti</dc:creator>
  <cp:lastModifiedBy>Rameen Mufti</cp:lastModifiedBy>
  <dcterms:created xsi:type="dcterms:W3CDTF">2026-01-02T23:04:25Z</dcterms:created>
  <dcterms:modified xsi:type="dcterms:W3CDTF">2026-01-03T23:37:42Z</dcterms:modified>
</cp:coreProperties>
</file>